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miriam.ugidos\Downloads\"/>
    </mc:Choice>
  </mc:AlternateContent>
  <xr:revisionPtr revIDLastSave="0" documentId="8_{A5EE749A-390A-49D9-B573-7CE258B5C66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úbr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H10" i="1"/>
  <c r="H9" i="1"/>
  <c r="H8" i="1"/>
  <c r="H7" i="1"/>
  <c r="H6" i="1"/>
  <c r="H5" i="1"/>
  <c r="J10" i="1"/>
  <c r="J9" i="1"/>
  <c r="J8" i="1"/>
  <c r="J7" i="1"/>
  <c r="J6" i="1"/>
  <c r="J5" i="1"/>
  <c r="L11" i="1"/>
</calcChain>
</file>

<file path=xl/sharedStrings.xml><?xml version="1.0" encoding="utf-8"?>
<sst xmlns="http://schemas.openxmlformats.org/spreadsheetml/2006/main" count="59" uniqueCount="59">
  <si>
    <t>CRITERIOS</t>
  </si>
  <si>
    <t>Niveles (Texto de realimentación / Calificación)</t>
  </si>
  <si>
    <t>Comentarios (opcional)</t>
  </si>
  <si>
    <t>E (mínimo)</t>
  </si>
  <si>
    <t>D</t>
  </si>
  <si>
    <t>C</t>
  </si>
  <si>
    <t>B</t>
  </si>
  <si>
    <t>A (máximo)</t>
  </si>
  <si>
    <t>Penalizaciones</t>
  </si>
  <si>
    <t>Formato de entrega (tipo de fichero, longitud texto, etc).</t>
  </si>
  <si>
    <t>No entrega en PDF, longitud fuera de 8-12 páginas, sin secciones o desorganizado.</t>
  </si>
  <si>
    <t>PDF pero extensión inadecuada o estructura deficiente.</t>
  </si>
  <si>
    <t>PDF, 8-12 páginas, estructura básica, pero con errores de presentación u organización.</t>
  </si>
  <si>
    <t>PDF organizado, extensión correcta, portada y anexos básicos bien señalados.</t>
  </si>
  <si>
    <t>PDF impecable, 8-12 páginas reales, portada, índice, anexos bien referenciados y presentación formal.</t>
  </si>
  <si>
    <t>Uso de IA generativa (inclusión de norma de uso, uso no declarado, etc.)</t>
  </si>
  <si>
    <t>Uso no declarado, incumplimiento normativo o dependencia total de IA sin crítica ni aportación personal.</t>
  </si>
  <si>
    <t>Declaración mínima, descripciones vagas o empleo no justificado; ausencia de reflexión sobre las limitaciones del uso de IA.</t>
  </si>
  <si>
    <t>Declaración básica del uso y herramienta, pero con aportación limitada y justificación insuficiente.</t>
  </si>
  <si>
    <t>Uso de IA ajustado, justificado y con clara aportación personal; o bien, se indica expresamente la no utilización de IA.</t>
  </si>
  <si>
    <t>Transparencia total: se detalla con rigor el uso (herramienta, prompts, ajuste normativo y análisis crítico propio), o se indica de forma explícita y razonada que no se ha empleado IA generativa, respetando los principios éticos y académicos del trabajo.</t>
  </si>
  <si>
    <t>Contenido</t>
  </si>
  <si>
    <t>Resumen</t>
  </si>
  <si>
    <t>Ausente o irrelevante; no refleja el objetivo de mejorar imágenes ni los resultados clave.</t>
  </si>
  <si>
    <t>Resumen superficial; omite los objetivos, la relación con la mejora de imágenes o los hallazgos principales.</t>
  </si>
  <si>
    <t>Expone el propósito y menciona técnicas y resultados, pero con omisiones importantes (falta claridad sobre procedimientos, datos o aportes).</t>
  </si>
  <si>
    <t>Claro y útil: incluye los objetivos, técnicas empleadas (transformación de intensidad, ecualización de histograma, operaciones aritméticas), resultados relevantes y aprendizajes sobre el impacto en la calidad de imágenes con poca luz.</t>
  </si>
  <si>
    <t>Presenta una sinopsis precisa y estructurada: establece claramente el objetivo de mejorar imágenes tomadas en condiciones de poca luz, describe las técnicas aplicadas y su utilidad, destaca hallazgos clave en la mejora de calidad visual y concluye con la relevancia de estos métodos para aplicaciones prácticas.</t>
  </si>
  <si>
    <t>Introducción</t>
  </si>
  <si>
    <t>No contextualiza la mejora de imagen en condiciones de baja iluminación ni explica su importancia; sin objetivos claros.</t>
  </si>
  <si>
    <t>El contexto es breve o genérico; los objetivos y la relevancia de las técnicas quedan imprecisos o poco definidos.</t>
  </si>
  <si>
    <t>Presenta el contexto y describe los objetivos, aunque falta profundidad o no explica por qué estas técnicas son relevantes para imágenes con poca luz.</t>
  </si>
  <si>
    <t>Expone claramente la importancia de mejorar imágenes tomadas en condiciones adversas; define y motiva los objetivos, relacionando la tarea con aplicaciones prácticas (seguridad, ciencia, etc.).</t>
  </si>
  <si>
    <t>Desarrolla un marco sólido sobre la relevancia y aplicaciones de la mejora de imágenes en baja iluminación, motiva la actividad, y justifica cuidadosamente todos los objetivos vinculando técnicas con beneficios concretos en contextos reales.</t>
  </si>
  <si>
    <t>Material y Métodos</t>
  </si>
  <si>
    <t>No explica formalmente las técnicas de mejora, ni los materiales (imágenes proporcionadas); no es replicable.</t>
  </si>
  <si>
    <t>Enumeración superficial de imágenes y pasos; detalles insuficientes sobre las transformaciones, ecualización o cálculos realizados.</t>
  </si>
  <si>
    <t>Describe brevemente las imágenes utilizadas y las técnicas aplicadas (por ejemplo, indica la ecualización de histograma), pero omite detalles para asegurar replicabilidad o justificación completa de cada elección metodológica.</t>
  </si>
  <si>
    <t>Detalla imágenes proporcionadas, explica el proceso seguido e incluye cada paso de mejora (transformaciones de intensidad, ecualización de histograma y operaciones aritméticas), justificando su aplicación y asegurando que otros puedan reproducir los resultados.</t>
  </si>
  <si>
    <t>Ofrece una descripción exhaustiva y formal de todos los materiales utilizados y de cada técnica y procedimiento aplicado; justifica las elecciones metodológicas y describe el procedimiento paso a paso de forma clara y detallada que garantiza su replicabilidad, sin hacer referencia a software específico.</t>
  </si>
  <si>
    <t>Resultados</t>
  </si>
  <si>
    <t>No presenta imágenes o análisis; resultados inconexos o incompletos.</t>
  </si>
  <si>
    <t>Presentación parcial, figuras o tablas poco claras, análisis limitado.</t>
  </si>
  <si>
    <t>Imágenes y análisis suficientes, interpretación muy básica.</t>
  </si>
  <si>
    <t>Buen uso de imágenes, tablas y gráficos; análisis crítico de las técnicas utilizadas.</t>
  </si>
  <si>
    <t>Resultados completos, figuras y análisis críticos detallados, compara técnicas, limitaciones, y propone mejoras.</t>
  </si>
  <si>
    <t>Conclusiones</t>
  </si>
  <si>
    <t>Falta de resumen o reflexión, sin nexo con resultados.</t>
  </si>
  <si>
    <t>Conclusiones generales o superficiales; poco análisis crítico.</t>
  </si>
  <si>
    <t>Resume hallazgos, pero sin reflexión crítica ni discusión de limitaciones.</t>
  </si>
  <si>
    <t>Síntesis adecuada, reflexiona sobre eficacia y limitaciones de las técnicas.</t>
  </si>
  <si>
    <t>Conclusiones profundas, reflexión crítica, plantea aplicaciones, limitaciones y posibilidades de mejora.</t>
  </si>
  <si>
    <t>Referencias</t>
  </si>
  <si>
    <t>Ausentes, irrelevantes o incorrectas; no siguen formato académico.</t>
  </si>
  <si>
    <t>Escasas o poco pertinentes, con errores de formato.</t>
  </si>
  <si>
    <t>Referencias suficientes, algunas incoherencias en formato.</t>
  </si>
  <si>
    <t>Bien seleccionadas, variedad y formato correcto en la mayoría de casos.</t>
  </si>
  <si>
    <t>Referencias actualizadas, completas y perfectamente citadas según APA/IEEE; cubren toda la bibliografía relevante.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</si>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</sst>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5B9BD5"/>
        <bgColor rgb="FF808080"/>
      </patternFill>
    </fill>
    <fill>
      <patternFill patternType="solid">
        <fgColor rgb="FF9DC3E6"/>
        <bgColor rgb="FFA5A5A5"/>
      </patternFill>
    </fill>
    <fill>
      <patternFill patternType="solid">
        <fgColor rgb="FF333F50"/>
        <bgColor rgb="FF333399"/>
      </patternFill>
    </fill>
    <fill>
      <patternFill patternType="solid">
        <fgColor rgb="FFE7E6E6"/>
        <bgColor rgb="FFDEEBF7"/>
      </patternFill>
    </fill>
    <fill>
      <patternFill patternType="solid">
        <fgColor theme="0"/>
        <bgColor rgb="FFDEEBF7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2" fillId="2" borderId="0" applyBorder="0" applyProtection="0"/>
    <xf numFmtId="0" fontId="2" fillId="3" borderId="0" applyBorder="0" applyProtection="0"/>
    <xf numFmtId="0" fontId="5" fillId="4" borderId="0" applyBorder="0" applyProtection="0"/>
  </cellStyleXfs>
  <cellXfs count="20">
    <xf numFmtId="0" fontId="0" fillId="0" borderId="0" xfId="0"/>
    <xf numFmtId="0" fontId="1" fillId="3" borderId="0" xfId="2" applyFont="1" applyBorder="1" applyAlignment="1" applyProtection="1">
      <alignment horizontal="center"/>
    </xf>
    <xf numFmtId="0" fontId="1" fillId="4" borderId="0" xfId="3" applyFont="1" applyBorder="1" applyAlignment="1" applyProtection="1">
      <alignment horizontal="center"/>
    </xf>
    <xf numFmtId="164" fontId="0" fillId="0" borderId="0" xfId="0" applyNumberFormat="1"/>
    <xf numFmtId="0" fontId="3" fillId="6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2" fontId="3" fillId="7" borderId="4" xfId="0" applyNumberFormat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164" fontId="6" fillId="0" borderId="8" xfId="0" applyNumberFormat="1" applyFont="1" applyBorder="1"/>
    <xf numFmtId="164" fontId="6" fillId="0" borderId="9" xfId="0" applyNumberFormat="1" applyFont="1" applyBorder="1"/>
    <xf numFmtId="2" fontId="3" fillId="8" borderId="4" xfId="0" applyNumberFormat="1" applyFont="1" applyFill="1" applyBorder="1" applyAlignment="1">
      <alignment vertical="center" wrapText="1"/>
    </xf>
    <xf numFmtId="0" fontId="1" fillId="5" borderId="1" xfId="1" applyFont="1" applyFill="1" applyBorder="1" applyAlignment="1" applyProtection="1">
      <alignment horizontal="center" vertical="center"/>
    </xf>
    <xf numFmtId="0" fontId="1" fillId="5" borderId="5" xfId="1" applyFont="1" applyFill="1" applyBorder="1" applyAlignment="1" applyProtection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" fillId="3" borderId="2" xfId="2" applyFont="1" applyBorder="1" applyAlignment="1" applyProtection="1">
      <alignment horizontal="center"/>
    </xf>
    <xf numFmtId="0" fontId="1" fillId="4" borderId="3" xfId="3" applyFont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1" fillId="4" borderId="6" xfId="3" applyFont="1" applyBorder="1" applyAlignment="1" applyProtection="1">
      <alignment horizontal="center"/>
    </xf>
    <xf numFmtId="0" fontId="1" fillId="4" borderId="7" xfId="3" applyFont="1" applyBorder="1" applyAlignment="1" applyProtection="1">
      <alignment horizontal="center"/>
    </xf>
  </cellXfs>
  <cellStyles count="4">
    <cellStyle name="Excel Built-in 60% - Accent1" xfId="3" xr:uid="{00000000-0005-0000-0000-000008000000}"/>
    <cellStyle name="Excel Built-in Accent1" xfId="2" xr:uid="{00000000-0005-0000-0000-000007000000}"/>
    <cellStyle name="Excel Built-in Accent3" xfId="1" xr:uid="{00000000-0005-0000-0000-000006000000}"/>
    <cellStyle name="Normal" xfId="0" builtinId="0"/>
  </cellStyles>
  <dxfs count="15"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E7E6E6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759960</xdr:rowOff>
    </xdr:from>
    <xdr:to>
      <xdr:col>12</xdr:col>
      <xdr:colOff>49320</xdr:colOff>
      <xdr:row>5</xdr:row>
      <xdr:rowOff>771120</xdr:rowOff>
    </xdr:to>
    <xdr:pic>
      <xdr:nvPicPr>
        <xdr:cNvPr id="2" name="Entrada de lápiz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932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5</xdr:row>
      <xdr:rowOff>759960</xdr:rowOff>
    </xdr:from>
    <xdr:to>
      <xdr:col>12</xdr:col>
      <xdr:colOff>44280</xdr:colOff>
      <xdr:row>5</xdr:row>
      <xdr:rowOff>771120</xdr:rowOff>
    </xdr:to>
    <xdr:pic>
      <xdr:nvPicPr>
        <xdr:cNvPr id="6" name="Entrada de lápiz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6</xdr:row>
      <xdr:rowOff>759600</xdr:rowOff>
    </xdr:from>
    <xdr:to>
      <xdr:col>12</xdr:col>
      <xdr:colOff>44280</xdr:colOff>
      <xdr:row>6</xdr:row>
      <xdr:rowOff>770760</xdr:rowOff>
    </xdr:to>
    <xdr:pic>
      <xdr:nvPicPr>
        <xdr:cNvPr id="7" name="Entrada de lápiz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6</xdr:row>
      <xdr:rowOff>759600</xdr:rowOff>
    </xdr:from>
    <xdr:to>
      <xdr:col>12</xdr:col>
      <xdr:colOff>44280</xdr:colOff>
      <xdr:row>6</xdr:row>
      <xdr:rowOff>770760</xdr:rowOff>
    </xdr:to>
    <xdr:pic>
      <xdr:nvPicPr>
        <xdr:cNvPr id="8" name="Entrada de lápiz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7</xdr:row>
      <xdr:rowOff>759960</xdr:rowOff>
    </xdr:from>
    <xdr:to>
      <xdr:col>12</xdr:col>
      <xdr:colOff>44280</xdr:colOff>
      <xdr:row>7</xdr:row>
      <xdr:rowOff>771120</xdr:rowOff>
    </xdr:to>
    <xdr:pic>
      <xdr:nvPicPr>
        <xdr:cNvPr id="9" name="Entrada de lápiz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7</xdr:row>
      <xdr:rowOff>759960</xdr:rowOff>
    </xdr:from>
    <xdr:to>
      <xdr:col>12</xdr:col>
      <xdr:colOff>44280</xdr:colOff>
      <xdr:row>7</xdr:row>
      <xdr:rowOff>771120</xdr:rowOff>
    </xdr:to>
    <xdr:pic>
      <xdr:nvPicPr>
        <xdr:cNvPr id="10" name="Entrada de lápiz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759600</xdr:rowOff>
    </xdr:from>
    <xdr:to>
      <xdr:col>12</xdr:col>
      <xdr:colOff>44280</xdr:colOff>
      <xdr:row>8</xdr:row>
      <xdr:rowOff>770760</xdr:rowOff>
    </xdr:to>
    <xdr:pic>
      <xdr:nvPicPr>
        <xdr:cNvPr id="11" name="Entrada de lápiz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759600</xdr:rowOff>
    </xdr:from>
    <xdr:to>
      <xdr:col>12</xdr:col>
      <xdr:colOff>44280</xdr:colOff>
      <xdr:row>8</xdr:row>
      <xdr:rowOff>770760</xdr:rowOff>
    </xdr:to>
    <xdr:pic>
      <xdr:nvPicPr>
        <xdr:cNvPr id="12" name="Entrada de lápiz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9</xdr:row>
      <xdr:rowOff>759960</xdr:rowOff>
    </xdr:from>
    <xdr:to>
      <xdr:col>12</xdr:col>
      <xdr:colOff>44280</xdr:colOff>
      <xdr:row>9</xdr:row>
      <xdr:rowOff>771120</xdr:rowOff>
    </xdr:to>
    <xdr:pic>
      <xdr:nvPicPr>
        <xdr:cNvPr id="13" name="Entrada de lápiz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9</xdr:row>
      <xdr:rowOff>759960</xdr:rowOff>
    </xdr:from>
    <xdr:to>
      <xdr:col>12</xdr:col>
      <xdr:colOff>44280</xdr:colOff>
      <xdr:row>9</xdr:row>
      <xdr:rowOff>771120</xdr:rowOff>
    </xdr:to>
    <xdr:pic>
      <xdr:nvPicPr>
        <xdr:cNvPr id="14" name="Entrada de lápiz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E1" zoomScale="90" zoomScaleNormal="90" workbookViewId="0">
      <selection activeCell="J3" sqref="J3:J4"/>
    </sheetView>
  </sheetViews>
  <sheetFormatPr baseColWidth="10" defaultColWidth="9" defaultRowHeight="14.4" x14ac:dyDescent="0.3"/>
  <cols>
    <col min="1" max="1" width="24.5546875" customWidth="1"/>
    <col min="2" max="2" width="37.109375" customWidth="1"/>
    <col min="3" max="3" width="36" customWidth="1"/>
    <col min="4" max="4" width="10.109375" customWidth="1"/>
    <col min="5" max="5" width="36" customWidth="1"/>
    <col min="6" max="6" width="12.109375" customWidth="1"/>
    <col min="7" max="7" width="36" customWidth="1"/>
    <col min="8" max="8" width="14.44140625" customWidth="1"/>
    <col min="9" max="9" width="36" customWidth="1"/>
    <col min="10" max="10" width="11.5546875" customWidth="1"/>
    <col min="11" max="11" width="37" customWidth="1"/>
    <col min="12" max="12" width="13.109375" customWidth="1"/>
    <col min="13" max="13" width="61.88671875" customWidth="1"/>
  </cols>
  <sheetData>
    <row r="1" spans="1:13" ht="13.65" customHeight="1" x14ac:dyDescent="0.3">
      <c r="A1" s="11" t="s">
        <v>0</v>
      </c>
      <c r="B1" s="11"/>
      <c r="C1" s="15" t="s">
        <v>1</v>
      </c>
      <c r="D1" s="15"/>
      <c r="E1" s="15"/>
      <c r="F1" s="15"/>
      <c r="G1" s="15"/>
      <c r="H1" s="15"/>
      <c r="I1" s="15"/>
      <c r="J1" s="1"/>
      <c r="K1" s="1"/>
      <c r="L1" s="1"/>
      <c r="M1" s="16" t="s">
        <v>2</v>
      </c>
    </row>
    <row r="2" spans="1:13" ht="44.25" customHeight="1" x14ac:dyDescent="0.3">
      <c r="A2" s="12"/>
      <c r="B2" s="12"/>
      <c r="C2" s="18" t="s">
        <v>3</v>
      </c>
      <c r="D2" s="19"/>
      <c r="E2" s="18" t="s">
        <v>4</v>
      </c>
      <c r="F2" s="19"/>
      <c r="G2" s="18" t="s">
        <v>5</v>
      </c>
      <c r="H2" s="19"/>
      <c r="I2" s="18" t="s">
        <v>6</v>
      </c>
      <c r="J2" s="19"/>
      <c r="K2" s="2" t="s">
        <v>7</v>
      </c>
      <c r="L2" s="2"/>
      <c r="M2" s="16"/>
    </row>
    <row r="3" spans="1:13" ht="84" customHeight="1" x14ac:dyDescent="0.3">
      <c r="A3" s="17" t="s">
        <v>8</v>
      </c>
      <c r="B3" s="4" t="s">
        <v>9</v>
      </c>
      <c r="C3" s="5" t="s">
        <v>10</v>
      </c>
      <c r="D3" s="10">
        <v>-0.5</v>
      </c>
      <c r="E3" s="5" t="s">
        <v>11</v>
      </c>
      <c r="F3" s="10">
        <v>-0.4</v>
      </c>
      <c r="G3" s="5" t="s">
        <v>12</v>
      </c>
      <c r="H3" s="10">
        <v>-0.2</v>
      </c>
      <c r="I3" s="5" t="s">
        <v>13</v>
      </c>
      <c r="J3" s="10">
        <v>-0.1</v>
      </c>
      <c r="K3" s="5" t="s">
        <v>14</v>
      </c>
      <c r="L3" s="6">
        <v>0</v>
      </c>
      <c r="M3" s="5"/>
    </row>
    <row r="4" spans="1:13" ht="101.4" customHeight="1" x14ac:dyDescent="0.3">
      <c r="A4" s="17"/>
      <c r="B4" s="4" t="s">
        <v>15</v>
      </c>
      <c r="C4" s="5" t="s">
        <v>16</v>
      </c>
      <c r="D4" s="10">
        <v>-10</v>
      </c>
      <c r="E4" s="5" t="s">
        <v>17</v>
      </c>
      <c r="F4" s="10">
        <v>-7.5</v>
      </c>
      <c r="G4" s="5" t="s">
        <v>18</v>
      </c>
      <c r="H4" s="10">
        <v>-5</v>
      </c>
      <c r="I4" s="5" t="s">
        <v>19</v>
      </c>
      <c r="J4" s="10">
        <v>-2.5</v>
      </c>
      <c r="K4" s="5" t="s">
        <v>20</v>
      </c>
      <c r="L4" s="6">
        <v>0</v>
      </c>
      <c r="M4" s="5"/>
    </row>
    <row r="5" spans="1:13" ht="120" customHeight="1" x14ac:dyDescent="0.3">
      <c r="A5" s="13" t="s">
        <v>21</v>
      </c>
      <c r="B5" s="4" t="s">
        <v>22</v>
      </c>
      <c r="C5" s="5" t="s">
        <v>23</v>
      </c>
      <c r="D5" s="6">
        <v>0</v>
      </c>
      <c r="E5" s="5" t="s">
        <v>24</v>
      </c>
      <c r="F5" s="6">
        <f>0.25*L5</f>
        <v>0.25</v>
      </c>
      <c r="G5" s="5" t="s">
        <v>25</v>
      </c>
      <c r="H5" s="6">
        <f>0.5*L5</f>
        <v>0.5</v>
      </c>
      <c r="I5" s="5" t="s">
        <v>26</v>
      </c>
      <c r="J5" s="6">
        <f>0.75*L5</f>
        <v>0.75</v>
      </c>
      <c r="K5" s="5" t="s">
        <v>27</v>
      </c>
      <c r="L5" s="6">
        <v>1</v>
      </c>
      <c r="M5" s="5"/>
    </row>
    <row r="6" spans="1:13" ht="96.75" customHeight="1" x14ac:dyDescent="0.3">
      <c r="A6" s="14"/>
      <c r="B6" s="4" t="s">
        <v>28</v>
      </c>
      <c r="C6" s="5" t="s">
        <v>29</v>
      </c>
      <c r="D6" s="6">
        <v>0</v>
      </c>
      <c r="E6" s="5" t="s">
        <v>30</v>
      </c>
      <c r="F6" s="6">
        <f t="shared" ref="F6:F10" si="0">0.25*L6</f>
        <v>0.375</v>
      </c>
      <c r="G6" s="5" t="s">
        <v>31</v>
      </c>
      <c r="H6" s="6">
        <f t="shared" ref="H6:H10" si="1">0.5*L6</f>
        <v>0.75</v>
      </c>
      <c r="I6" s="5" t="s">
        <v>32</v>
      </c>
      <c r="J6" s="6">
        <f t="shared" ref="J6:J10" si="2">0.75*L6</f>
        <v>1.125</v>
      </c>
      <c r="K6" s="5" t="s">
        <v>33</v>
      </c>
      <c r="L6" s="6">
        <v>1.5</v>
      </c>
      <c r="M6" s="5"/>
    </row>
    <row r="7" spans="1:13" ht="113.25" customHeight="1" x14ac:dyDescent="0.3">
      <c r="A7" s="14"/>
      <c r="B7" s="4" t="s">
        <v>34</v>
      </c>
      <c r="C7" s="5" t="s">
        <v>35</v>
      </c>
      <c r="D7" s="6">
        <v>0</v>
      </c>
      <c r="E7" s="5" t="s">
        <v>36</v>
      </c>
      <c r="F7" s="6">
        <f t="shared" si="0"/>
        <v>0.5</v>
      </c>
      <c r="G7" s="5" t="s">
        <v>37</v>
      </c>
      <c r="H7" s="6">
        <f t="shared" si="1"/>
        <v>1</v>
      </c>
      <c r="I7" s="5" t="s">
        <v>38</v>
      </c>
      <c r="J7" s="6">
        <f t="shared" si="2"/>
        <v>1.5</v>
      </c>
      <c r="K7" s="5" t="s">
        <v>39</v>
      </c>
      <c r="L7" s="6">
        <v>2</v>
      </c>
      <c r="M7" s="7"/>
    </row>
    <row r="8" spans="1:13" ht="79.5" customHeight="1" x14ac:dyDescent="0.3">
      <c r="A8" s="14"/>
      <c r="B8" s="4" t="s">
        <v>40</v>
      </c>
      <c r="C8" s="5" t="s">
        <v>41</v>
      </c>
      <c r="D8" s="6">
        <v>0</v>
      </c>
      <c r="E8" s="5" t="s">
        <v>42</v>
      </c>
      <c r="F8" s="6">
        <f t="shared" si="0"/>
        <v>0.875</v>
      </c>
      <c r="G8" s="5" t="s">
        <v>43</v>
      </c>
      <c r="H8" s="6">
        <f t="shared" si="1"/>
        <v>1.75</v>
      </c>
      <c r="I8" s="5" t="s">
        <v>44</v>
      </c>
      <c r="J8" s="6">
        <f t="shared" si="2"/>
        <v>2.625</v>
      </c>
      <c r="K8" s="5" t="s">
        <v>45</v>
      </c>
      <c r="L8" s="6">
        <v>3.5</v>
      </c>
      <c r="M8" s="7"/>
    </row>
    <row r="9" spans="1:13" ht="84.9" customHeight="1" x14ac:dyDescent="0.3">
      <c r="A9" s="14"/>
      <c r="B9" s="4" t="s">
        <v>46</v>
      </c>
      <c r="C9" s="5" t="s">
        <v>47</v>
      </c>
      <c r="D9" s="6">
        <v>0</v>
      </c>
      <c r="E9" s="5" t="s">
        <v>48</v>
      </c>
      <c r="F9" s="6">
        <f t="shared" si="0"/>
        <v>0.375</v>
      </c>
      <c r="G9" s="5" t="s">
        <v>49</v>
      </c>
      <c r="H9" s="6">
        <f t="shared" si="1"/>
        <v>0.75</v>
      </c>
      <c r="I9" s="5" t="s">
        <v>50</v>
      </c>
      <c r="J9" s="6">
        <f t="shared" si="2"/>
        <v>1.125</v>
      </c>
      <c r="K9" s="5" t="s">
        <v>51</v>
      </c>
      <c r="L9" s="6">
        <v>1.5</v>
      </c>
      <c r="M9" s="7"/>
    </row>
    <row r="10" spans="1:13" ht="101.25" customHeight="1" x14ac:dyDescent="0.3">
      <c r="A10" s="14"/>
      <c r="B10" s="4" t="s">
        <v>52</v>
      </c>
      <c r="C10" s="5" t="s">
        <v>53</v>
      </c>
      <c r="D10" s="6">
        <v>0</v>
      </c>
      <c r="E10" s="5" t="s">
        <v>54</v>
      </c>
      <c r="F10" s="6">
        <f t="shared" si="0"/>
        <v>0.125</v>
      </c>
      <c r="G10" s="5" t="s">
        <v>55</v>
      </c>
      <c r="H10" s="6">
        <f t="shared" si="1"/>
        <v>0.25</v>
      </c>
      <c r="I10" s="5" t="s">
        <v>56</v>
      </c>
      <c r="J10" s="6">
        <f t="shared" si="2"/>
        <v>0.375</v>
      </c>
      <c r="K10" s="5" t="s">
        <v>57</v>
      </c>
      <c r="L10" s="6">
        <v>0.5</v>
      </c>
      <c r="M10" s="7"/>
    </row>
    <row r="11" spans="1:13" x14ac:dyDescent="0.3">
      <c r="J11" s="3"/>
      <c r="K11" s="8" t="s">
        <v>58</v>
      </c>
      <c r="L11" s="9">
        <f>SUM(L5:L10)</f>
        <v>10</v>
      </c>
    </row>
  </sheetData>
  <mergeCells count="9">
    <mergeCell ref="A1:B2"/>
    <mergeCell ref="A5:A10"/>
    <mergeCell ref="C1:I1"/>
    <mergeCell ref="M1:M2"/>
    <mergeCell ref="A3:A4"/>
    <mergeCell ref="C2:D2"/>
    <mergeCell ref="E2:F2"/>
    <mergeCell ref="G2:H2"/>
    <mergeCell ref="I2:J2"/>
  </mergeCells>
  <conditionalFormatting sqref="C3:C10">
    <cfRule type="expression" dxfId="14" priority="5">
      <formula>(#REF!=$I$2)</formula>
    </cfRule>
    <cfRule type="expression" dxfId="13" priority="6">
      <formula>(#REF!&lt;&gt;$I$2)</formula>
    </cfRule>
  </conditionalFormatting>
  <conditionalFormatting sqref="D3:D10">
    <cfRule type="expression" dxfId="12" priority="8">
      <formula>(#REF!=$C$2)</formula>
    </cfRule>
    <cfRule type="expression" dxfId="11" priority="9">
      <formula>(#REF!&lt;&gt;$C$2)</formula>
    </cfRule>
  </conditionalFormatting>
  <conditionalFormatting sqref="D3:L4 D5:I10 C3:C10 E3:E10 I3:I10 K5:K10">
    <cfRule type="expression" dxfId="10" priority="10">
      <formula>(#REF!="")</formula>
    </cfRule>
  </conditionalFormatting>
  <conditionalFormatting sqref="E3:E10">
    <cfRule type="expression" dxfId="9" priority="3">
      <formula>(#REF!=$G$2)</formula>
    </cfRule>
    <cfRule type="expression" dxfId="8" priority="4">
      <formula>(#REF!&lt;&gt;$G$2)</formula>
    </cfRule>
  </conditionalFormatting>
  <conditionalFormatting sqref="E3:H10">
    <cfRule type="expression" dxfId="7" priority="11">
      <formula>(#REF!=$E$2)</formula>
    </cfRule>
    <cfRule type="expression" dxfId="6" priority="12">
      <formula>(#REF!&lt;&gt;$E$2)</formula>
    </cfRule>
  </conditionalFormatting>
  <conditionalFormatting sqref="G3:G4">
    <cfRule type="expression" dxfId="5" priority="1">
      <formula>(#REF!=$G$2)</formula>
    </cfRule>
    <cfRule type="expression" dxfId="4" priority="2">
      <formula>(#REF!&lt;&gt;$G$2)</formula>
    </cfRule>
  </conditionalFormatting>
  <conditionalFormatting sqref="G3:H10">
    <cfRule type="expression" dxfId="3" priority="13">
      <formula>(#REF!=$G$2)</formula>
    </cfRule>
    <cfRule type="expression" dxfId="2" priority="14">
      <formula>(#REF!&lt;&gt;$G$2)</formula>
    </cfRule>
  </conditionalFormatting>
  <conditionalFormatting sqref="I3:L4 I3:I10 K5:K10">
    <cfRule type="expression" dxfId="1" priority="15">
      <formula>(#REF!=$I$2)</formula>
    </cfRule>
    <cfRule type="expression" dxfId="0" priority="16">
      <formula>(#REF!&lt;&gt;$I$2)</formula>
    </cfRule>
  </conditionalFormatting>
  <pageMargins left="0.7" right="0.7" top="0.75" bottom="0.75" header="0.51180555555555496" footer="0.51180555555555496"/>
  <pageSetup paperSize="9" scale="60" firstPageNumber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d1332b-2be7-40f1-9770-624e28d36e1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6D3F77D01B9E4DB6E9022CD85C89CB" ma:contentTypeVersion="11" ma:contentTypeDescription="Crear nuevo documento." ma:contentTypeScope="" ma:versionID="82f406f4d703aa18e83a7771ce5207c6">
  <xsd:schema xmlns:xsd="http://www.w3.org/2001/XMLSchema" xmlns:xs="http://www.w3.org/2001/XMLSchema" xmlns:p="http://schemas.microsoft.com/office/2006/metadata/properties" xmlns:ns2="3cd1332b-2be7-40f1-9770-624e28d36e12" targetNamespace="http://schemas.microsoft.com/office/2006/metadata/properties" ma:root="true" ma:fieldsID="43439017f6538344de0b334c68b1f687" ns2:_="">
    <xsd:import namespace="3cd1332b-2be7-40f1-9770-624e28d36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1332b-2be7-40f1-9770-624e28d36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E38524-9CB5-47A0-83C1-C5E2690A601D}">
  <ds:schemaRefs>
    <ds:schemaRef ds:uri="http://schemas.microsoft.com/office/2006/metadata/properties"/>
    <ds:schemaRef ds:uri="http://schemas.microsoft.com/office/infopath/2007/PartnerControls"/>
    <ds:schemaRef ds:uri="3cd1332b-2be7-40f1-9770-624e28d36e12"/>
  </ds:schemaRefs>
</ds:datastoreItem>
</file>

<file path=customXml/itemProps2.xml><?xml version="1.0" encoding="utf-8"?>
<ds:datastoreItem xmlns:ds="http://schemas.openxmlformats.org/officeDocument/2006/customXml" ds:itemID="{9621CEFC-D76D-4671-B272-6BF91F4FC4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FEF816-74BC-4586-9B3C-5D4B2CCF1E6D}"/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De La Fuente Valentín</dc:creator>
  <cp:keywords/>
  <dc:description/>
  <cp:lastModifiedBy>Miriam Ugidos Del Barrio</cp:lastModifiedBy>
  <cp:revision>1</cp:revision>
  <dcterms:created xsi:type="dcterms:W3CDTF">2015-06-05T18:19:34Z</dcterms:created>
  <dcterms:modified xsi:type="dcterms:W3CDTF">2025-11-06T08:26:28Z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466415e2-403b-4a3f-968c-5b380b883b1a</vt:lpwstr>
  </property>
  <property fmtid="{D5CDD505-2E9C-101B-9397-08002B2CF9AE}" pid="3" name="ContentTypeId">
    <vt:lpwstr>0x010100116D3F77D01B9E4DB6E9022CD85C89CB</vt:lpwstr>
  </property>
  <property fmtid="{D5CDD505-2E9C-101B-9397-08002B2CF9AE}" pid="4" name="MediaServiceImageTags">
    <vt:lpwstr/>
  </property>
</Properties>
</file>